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Cost 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<sst xmlns="http://schemas.openxmlformats.org/spreadsheetml/2006/main" count="62" uniqueCount="47">
  <si>
    <t xml:space="preserve">Irrigation System — Estimated Material Cost</t>
  </si>
  <si>
    <t xml:space="preserve">Worthington Springs property — 6-zone Hunter X2 system</t>
  </si>
  <si>
    <t xml:space="preserve">Category</t>
  </si>
  <si>
    <t xml:space="preserve">Item</t>
  </si>
  <si>
    <t xml:space="preserve">Qty</t>
  </si>
  <si>
    <t xml:space="preserve">Unit</t>
  </si>
  <si>
    <t xml:space="preserve">Est. Unit Price</t>
  </si>
  <si>
    <t xml:space="preserve">Est. Subtotal</t>
  </si>
  <si>
    <t xml:space="preserve">Notes</t>
  </si>
  <si>
    <t xml:space="preserve">Heads &amp; Accessories</t>
  </si>
  <si>
    <t xml:space="preserve">Large-radius rotor (Hunter I-25, ~50ft throw, 5-7 GPM) — Zones 1-5</t>
  </si>
  <si>
    <t xml:space="preserve">ea</t>
  </si>
  <si>
    <t xml:space="preserve">Zones 1-5 open turf</t>
  </si>
  <si>
    <t xml:space="preserve">Shorter-throw rotor/spray (~25-35ft) — Zone 6</t>
  </si>
  <si>
    <t xml:space="preserve">Midpoint of 4-6 est., field-verify count</t>
  </si>
  <si>
    <t xml:space="preserve">Swing joint (one per head)</t>
  </si>
  <si>
    <t xml:space="preserve">Matches total head count</t>
  </si>
  <si>
    <t xml:space="preserve">Valves &amp; Control</t>
  </si>
  <si>
    <t xml:space="preserve">1" 24V electric solenoid valve</t>
  </si>
  <si>
    <t xml:space="preserve">One per zone</t>
  </si>
  <si>
    <t xml:space="preserve">Jumbo valve box (houses all 6 valves)</t>
  </si>
  <si>
    <t xml:space="preserve">Or 2 boxes if valves end up spread out</t>
  </si>
  <si>
    <t xml:space="preserve">18AWG 7-conductor direct burial wire, 500ft spool</t>
  </si>
  <si>
    <t xml:space="preserve">spool</t>
  </si>
  <si>
    <t xml:space="preserve">Controller to wellhouse to trunk run</t>
  </si>
  <si>
    <t xml:space="preserve">Pipe</t>
  </si>
  <si>
    <t xml:space="preserve">1.25" Class 200 PVC mainline</t>
  </si>
  <si>
    <t xml:space="preserve">ft</t>
  </si>
  <si>
    <t xml:space="preserve">Wellhouse -&gt; apron -&gt; trunk, rounded up to 500ft</t>
  </si>
  <si>
    <t xml:space="preserve">1" Class 200 PVC lateral pipe</t>
  </si>
  <si>
    <t xml:space="preserve">Zones 1-5 confirmed range; Zone 6 TBD</t>
  </si>
  <si>
    <t xml:space="preserve">Fittings &amp; Adhesives</t>
  </si>
  <si>
    <t xml:space="preserve">PVC fittings allowance (tees, elbows, couplings, adapters)</t>
  </si>
  <si>
    <t xml:space="preserve">lot</t>
  </si>
  <si>
    <t xml:space="preserve">Exact counts depend on final trenching layout</t>
  </si>
  <si>
    <t xml:space="preserve">PVC primer + cement (combo cans)</t>
  </si>
  <si>
    <t xml:space="preserve">Other</t>
  </si>
  <si>
    <t xml:space="preserve">Backflow preventer (atmospheric vacuum breaker)</t>
  </si>
  <si>
    <t xml:space="preserve">Not legally required where you are</t>
  </si>
  <si>
    <t xml:space="preserve">Hunter X2 Wi-Fi module (WAND)</t>
  </si>
  <si>
    <t xml:space="preserve">Optional — for remote access while traveling</t>
  </si>
  <si>
    <t xml:space="preserve">Estimated Total</t>
  </si>
  <si>
    <t xml:space="preserve">Notes:</t>
  </si>
  <si>
    <t xml:space="preserve">- Prices are planning-level estimates from current retail/irrigation-supply listings (Sprinkler Warehouse, Home Depot, Lowe's, SiteOne) as of mid-2026 — actual cost will vary by retailer, region, and quantity discounts.</t>
  </si>
  <si>
    <t xml:space="preserve">- Does not include sales tax, shipping, or trenching/installation labor.</t>
  </si>
  <si>
    <t xml:space="preserve">- Zone 6 head count and lateral footage are still pending an on-site walk to mark grass vs. mulch bed boundaries — totals will shift once that's finalized.</t>
  </si>
  <si>
    <t xml:space="preserve">- Buying heads/valves in bulk packs (e.g., case of 6 or 12) is usually cheaper per-unit than buying individually — worth checking case pricing before ordering.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</si>
</sst>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444444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4" min="3" style="0" width="7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42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15</v>
      </c>
      <c r="D5" s="4" t="s">
        <v>11</v>
      </c>
      <c r="E5" s="6" t="n">
        <v>30</v>
      </c>
      <c r="F5" s="7" t="n">
        <f aca="false">C5*E5</f>
        <v>450</v>
      </c>
      <c r="G5" s="8" t="s">
        <v>12</v>
      </c>
    </row>
    <row r="6" customFormat="false" ht="15" hidden="false" customHeight="false" outlineLevel="0" collapsed="false">
      <c r="A6" s="4" t="s">
        <v>9</v>
      </c>
      <c r="B6" s="4" t="s">
        <v>13</v>
      </c>
      <c r="C6" s="5" t="n">
        <v>5</v>
      </c>
      <c r="D6" s="4" t="s">
        <v>11</v>
      </c>
      <c r="E6" s="6" t="n">
        <v>16</v>
      </c>
      <c r="F6" s="7" t="n">
        <f aca="false">C6*E6</f>
        <v>80</v>
      </c>
      <c r="G6" s="8" t="s">
        <v>14</v>
      </c>
    </row>
    <row r="7" customFormat="false" ht="15" hidden="false" customHeight="false" outlineLevel="0" collapsed="false">
      <c r="A7" s="4" t="s">
        <v>9</v>
      </c>
      <c r="B7" s="4" t="s">
        <v>15</v>
      </c>
      <c r="C7" s="5" t="n">
        <v>20</v>
      </c>
      <c r="D7" s="4" t="s">
        <v>11</v>
      </c>
      <c r="E7" s="6" t="n">
        <v>6</v>
      </c>
      <c r="F7" s="7" t="n">
        <f aca="false">C7*E7</f>
        <v>120</v>
      </c>
      <c r="G7" s="8" t="s">
        <v>16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n">
        <v>6</v>
      </c>
      <c r="D8" s="4" t="s">
        <v>11</v>
      </c>
      <c r="E8" s="6" t="n">
        <v>24</v>
      </c>
      <c r="F8" s="7" t="n">
        <f aca="false">C8*E8</f>
        <v>144</v>
      </c>
      <c r="G8" s="8" t="s">
        <v>19</v>
      </c>
    </row>
    <row r="9" customFormat="false" ht="15" hidden="false" customHeight="false" outlineLevel="0" collapsed="false">
      <c r="A9" s="4" t="s">
        <v>17</v>
      </c>
      <c r="B9" s="4" t="s">
        <v>20</v>
      </c>
      <c r="C9" s="5" t="n">
        <v>1</v>
      </c>
      <c r="D9" s="4" t="s">
        <v>11</v>
      </c>
      <c r="E9" s="6" t="n">
        <v>45</v>
      </c>
      <c r="F9" s="7" t="n">
        <f aca="false">C9*E9</f>
        <v>45</v>
      </c>
      <c r="G9" s="8" t="s">
        <v>21</v>
      </c>
    </row>
    <row r="10" customFormat="false" ht="15" hidden="false" customHeight="false" outlineLevel="0" collapsed="false">
      <c r="A10" s="4" t="s">
        <v>17</v>
      </c>
      <c r="B10" s="4" t="s">
        <v>22</v>
      </c>
      <c r="C10" s="5" t="n">
        <v>1</v>
      </c>
      <c r="D10" s="4" t="s">
        <v>23</v>
      </c>
      <c r="E10" s="6" t="n">
        <v>230</v>
      </c>
      <c r="F10" s="7" t="n">
        <f aca="false">C10*E10</f>
        <v>230</v>
      </c>
      <c r="G10" s="8" t="s">
        <v>24</v>
      </c>
    </row>
    <row r="11" customFormat="false" ht="15" hidden="false" customHeight="false" outlineLevel="0" collapsed="false">
      <c r="A11" s="4" t="s">
        <v>25</v>
      </c>
      <c r="B11" s="4" t="s">
        <v>26</v>
      </c>
      <c r="C11" s="5" t="n">
        <v>500</v>
      </c>
      <c r="D11" s="4" t="s">
        <v>27</v>
      </c>
      <c r="E11" s="6" t="n">
        <v>0.65</v>
      </c>
      <c r="F11" s="7" t="n">
        <f aca="false">C11*E11</f>
        <v>325</v>
      </c>
      <c r="G11" s="8" t="s">
        <v>28</v>
      </c>
    </row>
    <row r="12" customFormat="false" ht="15" hidden="false" customHeight="false" outlineLevel="0" collapsed="false">
      <c r="A12" s="4" t="s">
        <v>25</v>
      </c>
      <c r="B12" s="4" t="s">
        <v>29</v>
      </c>
      <c r="C12" s="5" t="n">
        <v>900</v>
      </c>
      <c r="D12" s="4" t="s">
        <v>27</v>
      </c>
      <c r="E12" s="6" t="n">
        <v>0.45</v>
      </c>
      <c r="F12" s="7" t="n">
        <f aca="false">C12*E12</f>
        <v>405</v>
      </c>
      <c r="G12" s="8" t="s">
        <v>30</v>
      </c>
    </row>
    <row r="13" customFormat="false" ht="15" hidden="false" customHeight="false" outlineLevel="0" collapsed="false">
      <c r="A13" s="4" t="s">
        <v>31</v>
      </c>
      <c r="B13" s="4" t="s">
        <v>32</v>
      </c>
      <c r="C13" s="5" t="n">
        <v>1</v>
      </c>
      <c r="D13" s="4" t="s">
        <v>33</v>
      </c>
      <c r="E13" s="6" t="n">
        <v>180</v>
      </c>
      <c r="F13" s="7" t="n">
        <f aca="false">C13*E13</f>
        <v>180</v>
      </c>
      <c r="G13" s="8" t="s">
        <v>34</v>
      </c>
    </row>
    <row r="14" customFormat="false" ht="15" hidden="false" customHeight="false" outlineLevel="0" collapsed="false">
      <c r="A14" s="4" t="s">
        <v>31</v>
      </c>
      <c r="B14" s="4" t="s">
        <v>35</v>
      </c>
      <c r="C14" s="5" t="n">
        <v>2</v>
      </c>
      <c r="D14" s="4" t="s">
        <v>11</v>
      </c>
      <c r="E14" s="6" t="n">
        <v>13</v>
      </c>
      <c r="F14" s="7" t="n">
        <f aca="false">C14*E14</f>
        <v>26</v>
      </c>
      <c r="G14" s="8"/>
    </row>
    <row r="15" customFormat="false" ht="15" hidden="false" customHeight="false" outlineLevel="0" collapsed="false">
      <c r="A15" s="4" t="s">
        <v>36</v>
      </c>
      <c r="B15" s="4" t="s">
        <v>37</v>
      </c>
      <c r="C15" s="5" t="n">
        <v>1</v>
      </c>
      <c r="D15" s="4" t="s">
        <v>11</v>
      </c>
      <c r="E15" s="6" t="n">
        <v>30</v>
      </c>
      <c r="F15" s="7" t="n">
        <f aca="false">C15*E15</f>
        <v>30</v>
      </c>
      <c r="G15" s="8" t="s">
        <v>38</v>
      </c>
    </row>
    <row r="16" customFormat="false" ht="15" hidden="false" customHeight="false" outlineLevel="0" collapsed="false">
      <c r="A16" s="4" t="s">
        <v>36</v>
      </c>
      <c r="B16" s="4" t="s">
        <v>39</v>
      </c>
      <c r="C16" s="5" t="n">
        <v>1</v>
      </c>
      <c r="D16" s="4" t="s">
        <v>11</v>
      </c>
      <c r="E16" s="6" t="n">
        <v>110</v>
      </c>
      <c r="F16" s="7" t="n">
        <f aca="false">C16*E16</f>
        <v>110</v>
      </c>
      <c r="G16" s="8" t="s">
        <v>40</v>
      </c>
    </row>
    <row r="18" customFormat="false" ht="15" hidden="false" customHeight="false" outlineLevel="0" collapsed="false">
      <c r="A18" s="9"/>
      <c r="B18" s="9"/>
      <c r="C18" s="9"/>
      <c r="D18" s="9"/>
      <c r="E18" s="10" t="s">
        <v>41</v>
      </c>
      <c r="F18" s="11" t="n">
        <f aca="false">SUM(F5:F16)</f>
        <v>2145</v>
      </c>
      <c r="G18" s="9"/>
    </row>
    <row r="20" customFormat="false" ht="15" hidden="false" customHeight="false" outlineLevel="0" collapsed="false">
      <c r="A20" s="12" t="s">
        <v>42</v>
      </c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13" t="s">
        <v>43</v>
      </c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3" t="s">
        <v>44</v>
      </c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3" t="s">
        <v>45</v>
      </c>
      <c r="B23" s="13"/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3" t="s">
        <v>46</v>
      </c>
      <c r="B24" s="13"/>
      <c r="C24" s="13"/>
      <c r="D24" s="13"/>
      <c r="E24" s="13"/>
      <c r="F24" s="13"/>
      <c r="G24" s="13"/>
    </row>
  </sheetData>
  <mergeCells count="7">
    <mergeCell ref="A1:G1"/>
    <mergeCell ref="A2:G2"/>
    <mergeCell ref="A20:G20"/>
    <mergeCell ref="A21:G21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2026-06-17T20:19:03Z</dcterms:created>
  <dc:creator>openpyxl</dc:creator>
  <dc:description/>
  <dc:language>en-US</dc:language>
  <cp:lastModifiedBy/>
  <dcterms:modified xsi:type="dcterms:W3CDTF">2026-06-17T20:19:03Z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